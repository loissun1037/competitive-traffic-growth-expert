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qingti\Documents\团队规划\outputs\skill-release\competitive-traffic-growth-expert\references\"/>
    </mc:Choice>
  </mc:AlternateContent>
  <bookViews>
    <workbookView windowWidth="21600" windowHeight="9555"/>
  </bookViews>
  <sheets>
    <sheet name="分析报告" sheetId="1" r:id="rId1"/>
    <sheet name="数据明细" sheetId="2" r:id="rId2"/>
    <sheet name="来源口径" sheetId="3" r:id="rId3"/>
    <sheet name="核验记录" sheetId="4" r:id="rId4"/>
    <sheet name="增长实验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<sst xmlns="http://schemas.openxmlformats.org/spreadsheetml/2006/main" count="413" uniqueCount="188">
  <si>
    <t>AI 视频赛道竞品分析（样例输出）</t>
  </si>
  <si>
    <t>演示数据，仅用于展示 competitive-traffic-growth-expert 的报告结构；不是 Similarweb、Semrush 或竞品内部真实数据。</t>
  </si>
  <si>
    <t>一、Runway 规模领先，Higgsfield 增速最快，Liblib 展现中文社区纵深</t>
  </si>
  <si>
    <t>高管摘要</t>
  </si>
  <si>
    <t>本样例用演示数据模拟 AI 视频生成赛道竞品报告。Runway 在样本期累计访问量最高，HeyGen 保持 B2B 视频场景稳定增长，Higgsfield 由社交平台驱动成为增速最快的新锐，Liblib 在中文创作社区拥有更深访问质量，Pika 仍具创作者心智但增长相对温和。建议优先拆解 Higgsfield 的短视频社媒扩散机制，以及 HeyGen 的搜索与企业转化路径。</t>
  </si>
  <si>
    <t>数据边界</t>
  </si>
  <si>
    <t>全部数据均为演示数据；仅用于说明报告结构、图表节奏、口径说明和可证伪增长建议。真实项目必须替换为用户授权导出、公开资料或 API 数据。</t>
  </si>
  <si>
    <t>下一步动作</t>
  </si>
  <si>
    <t>先用公开证据或平台导出验证各站真实月度访问、渠道结构和目标国家，再设计 2 周小预算实验验证高意图搜索词与短视频内容导流。</t>
  </si>
  <si>
    <t>竞品</t>
  </si>
  <si>
    <t>分析域名</t>
  </si>
  <si>
    <t>累计访问量</t>
  </si>
  <si>
    <t>最新月访问量</t>
  </si>
  <si>
    <t>端点增幅</t>
  </si>
  <si>
    <t>样本份额</t>
  </si>
  <si>
    <t>定位</t>
  </si>
  <si>
    <t>判断</t>
  </si>
  <si>
    <t>Runway</t>
  </si>
  <si>
    <t>app.runwayml.com</t>
  </si>
  <si>
    <t>AI video generation and creative workflow platform</t>
  </si>
  <si>
    <t>规模领跑</t>
  </si>
  <si>
    <t>HeyGen</t>
  </si>
  <si>
    <t>heygen.com</t>
  </si>
  <si>
    <t>AI avatar video, localization, and enterprise video generation</t>
  </si>
  <si>
    <t>稳定跟踪</t>
  </si>
  <si>
    <t>Liblib</t>
  </si>
  <si>
    <t>liblib.tv</t>
  </si>
  <si>
    <t>AI creation community and model/resource platform</t>
  </si>
  <si>
    <t>中文社区深度</t>
  </si>
  <si>
    <t>Pika</t>
  </si>
  <si>
    <t>pika.art</t>
  </si>
  <si>
    <t>AI video generation for creator-first visual effects</t>
  </si>
  <si>
    <t>Higgsfield</t>
  </si>
  <si>
    <t>higgsfield.ai</t>
  </si>
  <si>
    <t>AI video and camera-control creative app</t>
  </si>
  <si>
    <t>黑马增长</t>
  </si>
  <si>
    <t>二、月度趋势显示：Higgsfield 从小基数高速放大，Runway 和 HeyGen 稳定扩张</t>
  </si>
  <si>
    <t>月份</t>
  </si>
  <si>
    <t>2026-01</t>
  </si>
  <si>
    <t>2026-02</t>
  </si>
  <si>
    <t>2026-03</t>
  </si>
  <si>
    <t>2026-04</t>
  </si>
  <si>
    <t>2026-05</t>
  </si>
  <si>
    <t>2026-06</t>
  </si>
  <si>
    <t>三、访问质量：Liblib 和 Runway 更像深度工作台，Higgsfield 更像社媒驱动的高频试用入口</t>
  </si>
  <si>
    <t>跳出率</t>
  </si>
  <si>
    <t>每次访问页数</t>
  </si>
  <si>
    <t>平均访问时长（秒）</t>
  </si>
  <si>
    <t>访问/UV</t>
  </si>
  <si>
    <t>解释性假设</t>
  </si>
  <si>
    <t>需结合产品内转化继续验证</t>
  </si>
  <si>
    <t>社交流量占比高，需验证留存与转化</t>
  </si>
  <si>
    <t>社区资源浏览深，可能带来长会话</t>
  </si>
  <si>
    <t>四、渠道结构：Runway 和 HeyGen 搜索基础更稳，Higgsfield 与 Pika 更依赖社交扩散</t>
  </si>
  <si>
    <t>Direct</t>
  </si>
  <si>
    <t>Organic Search</t>
  </si>
  <si>
    <t>Paid Search</t>
  </si>
  <si>
    <t>Referrals</t>
  </si>
  <si>
    <t>Organic Social</t>
  </si>
  <si>
    <t>Paid Social</t>
  </si>
  <si>
    <t>五、增长实验建议：用短视频内容钩子验证社交流量，用高意图搜索词验证企业线索</t>
  </si>
  <si>
    <t>实验</t>
  </si>
  <si>
    <t>待验证假设</t>
  </si>
  <si>
    <t>对象</t>
  </si>
  <si>
    <t>变量</t>
  </si>
  <si>
    <t>观察周期</t>
  </si>
  <si>
    <t>成功线</t>
  </si>
  <si>
    <t>停止线</t>
  </si>
  <si>
    <t>需要补数</t>
  </si>
  <si>
    <t>短视频内容钩子</t>
  </si>
  <si>
    <t>Higgsfield 的增长可能来自可复用镜头模板在短视频平台扩散</t>
  </si>
  <si>
    <t>Higgsfield / Pika</t>
  </si>
  <si>
    <t>3 组视频模板主题 + 2 个 CTA</t>
  </si>
  <si>
    <t>14 天</t>
  </si>
  <si>
    <t>落地页访问成本低于基线 20%，试用转化率不低于基线</t>
  </si>
  <si>
    <t>连续 7 天无有效注册或互动成本高于基线 50%</t>
  </si>
  <si>
    <t>真实社交流量、落地页转化、内容发布时间</t>
  </si>
  <si>
    <t>高意图搜索词</t>
  </si>
  <si>
    <t>HeyGen 与 Runway 的搜索流量可转化为 B2B 线索</t>
  </si>
  <si>
    <t>HeyGen / Runway</t>
  </si>
  <si>
    <t>Avatar video、AI video localization、text to video 等词组</t>
  </si>
  <si>
    <t>有效线索 CPA 低于目标上限</t>
  </si>
  <si>
    <t>点击无转化且搜索词意图偏学习/娱乐</t>
  </si>
  <si>
    <t>关键词量、CPC、我方转化事件</t>
  </si>
  <si>
    <t>中文社区资源</t>
  </si>
  <si>
    <t>Liblib 的深访问可能来自模型/素材浏览，适合内容型获客</t>
  </si>
  <si>
    <t>教程、模板、模型资源页</t>
  </si>
  <si>
    <t>21 天</t>
  </si>
  <si>
    <t>自然搜索点击与收藏行为同步提升</t>
  </si>
  <si>
    <t>访问增长但无注册/收藏行为</t>
  </si>
  <si>
    <t>页面级搜索词、资源下载/收藏数据</t>
  </si>
  <si>
    <t>数据明细（演示数据）</t>
  </si>
  <si>
    <t>所有数值为样例报告演示数据；真实项目需替换为授权导出、公开资料或 API 数据。</t>
  </si>
  <si>
    <t>competitor_id</t>
  </si>
  <si>
    <t>product_name</t>
  </si>
  <si>
    <t>domain</t>
  </si>
  <si>
    <t>official_url</t>
  </si>
  <si>
    <t>positioning</t>
  </si>
  <si>
    <t>audience</t>
  </si>
  <si>
    <t>C001</t>
  </si>
  <si>
    <t>https://app.runwayml.com</t>
  </si>
  <si>
    <t>创意团队、视频制作团队、品牌内容团队</t>
  </si>
  <si>
    <t>C002</t>
  </si>
  <si>
    <t>https://higgsfield.ai/</t>
  </si>
  <si>
    <t>短视频创作者、社媒内容团队、AI 创意玩家</t>
  </si>
  <si>
    <t>C003</t>
  </si>
  <si>
    <t>https://www.liblib.tv/</t>
  </si>
  <si>
    <t>中文 AI 创作者、模型训练与素材社区用户</t>
  </si>
  <si>
    <t>C004</t>
  </si>
  <si>
    <t>https://www.heygen.com/</t>
  </si>
  <si>
    <t>B2B 市场团队、销售培训、企业出海内容团队</t>
  </si>
  <si>
    <t>C005</t>
  </si>
  <si>
    <t>https://pika.art</t>
  </si>
  <si>
    <t>AI 视频创作者、短视频玩家、视觉特效爱好者</t>
  </si>
  <si>
    <t>month</t>
  </si>
  <si>
    <t>visits</t>
  </si>
  <si>
    <t>channel</t>
  </si>
  <si>
    <t>share</t>
  </si>
  <si>
    <t>denominator</t>
  </si>
  <si>
    <t>domain_total_visits</t>
  </si>
  <si>
    <t>来源口径</t>
  </si>
  <si>
    <t>样例报告来源说明。</t>
  </si>
  <si>
    <t>source_id</t>
  </si>
  <si>
    <t>provider</t>
  </si>
  <si>
    <t>module</t>
  </si>
  <si>
    <t>reference</t>
  </si>
  <si>
    <t>retrieved_at</t>
  </si>
  <si>
    <t>geo_filter</t>
  </si>
  <si>
    <t>device</t>
  </si>
  <si>
    <t>notes</t>
  </si>
  <si>
    <t>SAMPLE-001</t>
  </si>
  <si>
    <t>Synthetic demo data</t>
  </si>
  <si>
    <t>Monthly visits / channels / engagement</t>
  </si>
  <si>
    <t>Bundled sample workbook</t>
  </si>
  <si>
    <t>2026-09-16</t>
  </si>
  <si>
    <t>Worldwide</t>
  </si>
  <si>
    <t>all_web</t>
  </si>
  <si>
    <t>用于展示 skill 输出结构，不代表真实平台数据</t>
  </si>
  <si>
    <t>PUBLIC-001</t>
  </si>
  <si>
    <t>Official websites</t>
  </si>
  <si>
    <t>Competitor URL list</t>
  </si>
  <si>
    <t>User-provided URLs</t>
  </si>
  <si>
    <t>N/A</t>
  </si>
  <si>
    <t>官网 URL 来自用户提供目标对象</t>
  </si>
  <si>
    <t>GUIDE-001</t>
  </si>
  <si>
    <t>Skill instructions</t>
  </si>
  <si>
    <t>Report style</t>
  </si>
  <si>
    <t>competitive-traffic-growth-expert/SKILL.md</t>
  </si>
  <si>
    <t>结论先行、事实与推断分开、可追溯</t>
  </si>
  <si>
    <t>核验记录</t>
  </si>
  <si>
    <t>样例报告检查项。</t>
  </si>
  <si>
    <t>检查项</t>
  </si>
  <si>
    <t>结果</t>
  </si>
  <si>
    <t>影响范围</t>
  </si>
  <si>
    <t>处理方式</t>
  </si>
  <si>
    <t>备注</t>
  </si>
  <si>
    <t>样例数据属性</t>
  </si>
  <si>
    <t>已标注为演示数据</t>
  </si>
  <si>
    <t>全报告</t>
  </si>
  <si>
    <t>在标题、来源和核验中说明</t>
  </si>
  <si>
    <t>不能作为真实市场结论</t>
  </si>
  <si>
    <t>竞品域名</t>
  </si>
  <si>
    <t>已按用户给定对象填写</t>
  </si>
  <si>
    <t>竞品清单</t>
  </si>
  <si>
    <t>保留官网 URL 和分析域名</t>
  </si>
  <si>
    <t>runway 使用 app.runwayml.com</t>
  </si>
  <si>
    <t>事实/推断区分</t>
  </si>
  <si>
    <t>已区分</t>
  </si>
  <si>
    <t>洞察和建议</t>
  </si>
  <si>
    <t>因果判断写为待验证假设</t>
  </si>
  <si>
    <t>增长实验需真实数据验证</t>
  </si>
  <si>
    <t>缺失真实来源</t>
  </si>
  <si>
    <t>存在</t>
  </si>
  <si>
    <t>所有定量数值</t>
  </si>
  <si>
    <t>真实运行时必须替换为授权导出或公开来源</t>
  </si>
  <si>
    <t>样例仅看结构</t>
  </si>
  <si>
    <t>图表绑定</t>
  </si>
  <si>
    <t>已绑定数据区域</t>
  </si>
  <si>
    <t>分析报告</t>
  </si>
  <si>
    <t>使用原生图表</t>
  </si>
  <si>
    <t>保存后可继续编辑</t>
  </si>
  <si>
    <t>敏感旧样例</t>
  </si>
  <si>
    <t>已替换</t>
  </si>
  <si>
    <t>references</t>
  </si>
  <si>
    <t>移除 AI 3D 建模样例</t>
  </si>
  <si>
    <t>改用 AI 视频赛道样例</t>
  </si>
  <si>
    <t>增长实验</t>
  </si>
  <si>
    <t>可证伪行动建议示例。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</si>
</sst>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</numFmts>
  <fonts count="29">
    <font>
      <sz val="11"/>
      <name val="Carlito"/>
      <charset val="134"/>
    </font>
    <font>
      <b/>
      <sz val="16"/>
      <color rgb="FF1F2937"/>
      <name val="Arial"/>
      <charset val="134"/>
    </font>
    <font>
      <sz val="10"/>
      <name val="Arial"/>
      <charset val="134"/>
    </font>
    <font>
      <i/>
      <sz val="10"/>
      <color rgb="FF4B5563"/>
      <name val="Arial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b/>
      <sz val="12"/>
      <color rgb="FFFFFFFF"/>
      <name val="Arial"/>
      <charset val="134"/>
    </font>
    <font>
      <b/>
      <sz val="11"/>
      <name val="Arial"/>
      <charset val="134"/>
    </font>
    <font>
      <sz val="10"/>
      <color rgb="FF1F293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AF0F9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3" fillId="0" borderId="0" xfId="49" applyNumberFormat="1" applyFont="1" applyFill="1" applyBorder="1"/>
    <xf numFmtId="0" fontId="4" fillId="2" borderId="1" xfId="49" applyNumberFormat="1" applyFont="1" applyFill="1" applyBorder="1" applyAlignment="1">
      <alignment horizontal="center" vertical="center"/>
    </xf>
    <xf numFmtId="0" fontId="5" fillId="3" borderId="1" xfId="49" applyNumberFormat="1" applyFont="1" applyFill="1" applyBorder="1"/>
    <xf numFmtId="0" fontId="5" fillId="3" borderId="1" xfId="49" applyNumberFormat="1" applyFont="1" applyFill="1" applyBorder="1" applyAlignment="1"/>
    <xf numFmtId="0" fontId="5" fillId="0" borderId="1" xfId="49" applyNumberFormat="1" applyFont="1" applyFill="1" applyBorder="1"/>
    <xf numFmtId="0" fontId="5" fillId="0" borderId="1" xfId="49" applyNumberFormat="1" applyFont="1" applyFill="1" applyBorder="1" applyAlignment="1"/>
    <xf numFmtId="0" fontId="5" fillId="3" borderId="1" xfId="49" applyNumberFormat="1" applyFont="1" applyFill="1" applyBorder="1" applyAlignment="1">
      <alignment wrapText="1"/>
    </xf>
    <xf numFmtId="0" fontId="5" fillId="0" borderId="1" xfId="49" applyNumberFormat="1" applyFont="1" applyFill="1" applyBorder="1" applyAlignment="1">
      <alignment wrapText="1"/>
    </xf>
    <xf numFmtId="3" fontId="5" fillId="3" borderId="1" xfId="49" applyNumberFormat="1" applyFont="1" applyFill="1" applyBorder="1"/>
    <xf numFmtId="176" fontId="5" fillId="3" borderId="1" xfId="49" applyNumberFormat="1" applyFont="1" applyFill="1" applyBorder="1"/>
    <xf numFmtId="3" fontId="5" fillId="0" borderId="1" xfId="49" applyNumberFormat="1" applyFont="1" applyFill="1" applyBorder="1"/>
    <xf numFmtId="176" fontId="5" fillId="0" borderId="1" xfId="49" applyNumberFormat="1" applyFont="1" applyFill="1" applyBorder="1"/>
    <xf numFmtId="0" fontId="6" fillId="4" borderId="0" xfId="49" applyNumberFormat="1" applyFont="1" applyFill="1" applyBorder="1" applyAlignment="1">
      <alignment vertical="center"/>
    </xf>
    <xf numFmtId="0" fontId="7" fillId="0" borderId="1" xfId="49" applyNumberFormat="1" applyFont="1" applyFill="1" applyBorder="1"/>
    <xf numFmtId="0" fontId="0" fillId="0" borderId="1" xfId="49" applyNumberFormat="1" applyFont="1" applyFill="1" applyBorder="1" applyAlignment="1">
      <alignment wrapText="1"/>
    </xf>
    <xf numFmtId="0" fontId="7" fillId="5" borderId="1" xfId="49" applyNumberFormat="1" applyFont="1" applyFill="1" applyBorder="1"/>
    <xf numFmtId="0" fontId="0" fillId="5" borderId="1" xfId="49" applyNumberFormat="1" applyFont="1" applyFill="1" applyBorder="1" applyAlignment="1">
      <alignment wrapText="1"/>
    </xf>
    <xf numFmtId="177" fontId="5" fillId="3" borderId="1" xfId="49" applyNumberFormat="1" applyFont="1" applyFill="1" applyBorder="1"/>
    <xf numFmtId="177" fontId="5" fillId="0" borderId="1" xfId="49" applyNumberFormat="1" applyFont="1" applyFill="1" applyBorder="1"/>
    <xf numFmtId="0" fontId="8" fillId="3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20204"/>
                <a:ea typeface="Arial" panose="020B0604020202020204"/>
                <a:cs typeface="Arial" panose="020B0604020202020204"/>
              </a:rPr>
              <a:t>核心竞品月度访问量趋势（2026-01 至 2026-06，演示数据）</a:t>
            </a:r>
            <a:endParaRPr sz="900">
              <a:latin typeface="Arial" panose="020B0604020202020204"/>
              <a:ea typeface="Arial" panose="020B0604020202020204"/>
              <a:cs typeface="Arial" panose="020B0604020202020204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"Runway"</c:f>
              <c:strCache>
                <c:ptCount val="1"/>
                <c:pt idx="0">
                  <c:v>Runway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分析报告!$A$21:$A$26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分析报告!$B$21:$B$26</c:f>
              <c:numCache>
                <c:formatCode>#,##0</c:formatCode>
                <c:ptCount val="6"/>
                <c:pt idx="0">
                  <c:v>9200000</c:v>
                </c:pt>
                <c:pt idx="1">
                  <c:v>9800000</c:v>
                </c:pt>
                <c:pt idx="2">
                  <c:v>10500000</c:v>
                </c:pt>
                <c:pt idx="3">
                  <c:v>11600000</c:v>
                </c:pt>
                <c:pt idx="4">
                  <c:v>12800000</c:v>
                </c:pt>
                <c:pt idx="5">
                  <c:v>14200000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"Higgsfield"</c:f>
              <c:strCache>
                <c:ptCount val="1"/>
                <c:pt idx="0">
                  <c:v>Higgsfield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分析报告!$A$21:$A$26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分析报告!$C$21:$C$26</c:f>
              <c:numCache>
                <c:formatCode>#,##0</c:formatCode>
                <c:ptCount val="6"/>
                <c:pt idx="0">
                  <c:v>1200000</c:v>
                </c:pt>
                <c:pt idx="1">
                  <c:v>1600000</c:v>
                </c:pt>
                <c:pt idx="2">
                  <c:v>2300000</c:v>
                </c:pt>
                <c:pt idx="3">
                  <c:v>3400000</c:v>
                </c:pt>
                <c:pt idx="4">
                  <c:v>5100000</c:v>
                </c:pt>
                <c:pt idx="5">
                  <c:v>7200000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"Liblib"</c:f>
              <c:strCache>
                <c:ptCount val="1"/>
                <c:pt idx="0">
                  <c:v>Liblib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分析报告!$A$21:$A$26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分析报告!$D$21:$D$26</c:f>
              <c:numCache>
                <c:formatCode>#,##0</c:formatCode>
                <c:ptCount val="6"/>
                <c:pt idx="0">
                  <c:v>4200000</c:v>
                </c:pt>
                <c:pt idx="1">
                  <c:v>4600000</c:v>
                </c:pt>
                <c:pt idx="2">
                  <c:v>5100000</c:v>
                </c:pt>
                <c:pt idx="3">
                  <c:v>5800000</c:v>
                </c:pt>
                <c:pt idx="4">
                  <c:v>6600000</c:v>
                </c:pt>
                <c:pt idx="5">
                  <c:v>7600000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"HeyGen"</c:f>
              <c:strCache>
                <c:ptCount val="1"/>
                <c:pt idx="0">
                  <c:v>HeyGen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分析报告!$A$21:$A$26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分析报告!$E$21:$E$26</c:f>
              <c:numCache>
                <c:formatCode>#,##0</c:formatCode>
                <c:ptCount val="6"/>
                <c:pt idx="0">
                  <c:v>6800000</c:v>
                </c:pt>
                <c:pt idx="1">
                  <c:v>7200000</c:v>
                </c:pt>
                <c:pt idx="2">
                  <c:v>7800000</c:v>
                </c:pt>
                <c:pt idx="3">
                  <c:v>8400000</c:v>
                </c:pt>
                <c:pt idx="4">
                  <c:v>9300000</c:v>
                </c:pt>
                <c:pt idx="5">
                  <c:v>10400000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"Pika"</c:f>
              <c:strCache>
                <c:ptCount val="1"/>
                <c:pt idx="0">
                  <c:v>Pika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分析报告!$A$21:$A$26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分析报告!$F$21:$F$26</c:f>
              <c:numCache>
                <c:formatCode>#,##0</c:formatCode>
                <c:ptCount val="6"/>
                <c:pt idx="0">
                  <c:v>5000000</c:v>
                </c:pt>
                <c:pt idx="1">
                  <c:v>4700000</c:v>
                </c:pt>
                <c:pt idx="2">
                  <c:v>4900000</c:v>
                </c:pt>
                <c:pt idx="3">
                  <c:v>5200000</c:v>
                </c:pt>
                <c:pt idx="4">
                  <c:v>5700000</c:v>
                </c:pt>
                <c:pt idx="5">
                  <c:v>6300000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acc6c6-b863-4b80-b185-b598ec8fe36b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Arial" panose="020B0604020202020204"/>
                <a:ea typeface="Arial" panose="020B0604020202020204"/>
                <a:cs typeface="Arial" panose="020B0604020202020204"/>
              </a:rPr>
              <a:t>渠道结构对比（2026H1 汇总，演示数据）</a:t>
            </a:r>
            <a:endParaRPr>
              <a:latin typeface="Arial" panose="020B0604020202020204"/>
              <a:ea typeface="Arial" panose="020B0604020202020204"/>
              <a:cs typeface="Arial" panose="020B060402020202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"Direct"</c:f>
              <c:strCache>
                <c:ptCount val="1"/>
                <c:pt idx="0">
                  <c:v>Direct</c:v>
                </c:pt>
              </c:strCache>
            </c:strRef>
          </c:tx>
          <c:invertIfNegative val="0"/>
          <c:dLbls>
            <c:delete val="1"/>
          </c:dLbls>
          <c:cat>
            <c:strRef>
              <c:f>分析报告!$A$42:$A$46</c:f>
              <c:strCache>
                <c:ptCount val="5"/>
                <c:pt idx="0">
                  <c:v>Runway</c:v>
                </c:pt>
                <c:pt idx="1">
                  <c:v>Higgsfield</c:v>
                </c:pt>
                <c:pt idx="2">
                  <c:v>Liblib</c:v>
                </c:pt>
                <c:pt idx="3">
                  <c:v>HeyGen</c:v>
                </c:pt>
                <c:pt idx="4">
                  <c:v>Pika</c:v>
                </c:pt>
              </c:strCache>
            </c:strRef>
          </c:cat>
          <c:val>
            <c:numRef>
              <c:f>分析报告!$B$42:$B$46</c:f>
              <c:numCache>
                <c:formatCode>0.0%</c:formatCode>
                <c:ptCount val="5"/>
                <c:pt idx="0">
                  <c:v>0.34</c:v>
                </c:pt>
                <c:pt idx="1">
                  <c:v>0.22</c:v>
                </c:pt>
                <c:pt idx="2">
                  <c:v>0.31</c:v>
                </c:pt>
                <c:pt idx="3">
                  <c:v>0.29</c:v>
                </c:pt>
                <c:pt idx="4">
                  <c:v>0.27</c:v>
                </c:pt>
              </c:numCache>
            </c:numRef>
          </c:val>
        </c:ser>
        <c:ser>
          <c:idx val="1"/>
          <c:order val="1"/>
          <c:tx>
            <c:strRef>
              <c:f>"Organic Search"</c:f>
              <c:strCache>
                <c:ptCount val="1"/>
                <c:pt idx="0">
                  <c:v>Organic Search</c:v>
                </c:pt>
              </c:strCache>
            </c:strRef>
          </c:tx>
          <c:invertIfNegative val="0"/>
          <c:dLbls>
            <c:delete val="1"/>
          </c:dLbls>
          <c:cat>
            <c:strRef>
              <c:f>分析报告!$A$42:$A$46</c:f>
              <c:strCache>
                <c:ptCount val="5"/>
                <c:pt idx="0">
                  <c:v>Runway</c:v>
                </c:pt>
                <c:pt idx="1">
                  <c:v>Higgsfield</c:v>
                </c:pt>
                <c:pt idx="2">
                  <c:v>Liblib</c:v>
                </c:pt>
                <c:pt idx="3">
                  <c:v>HeyGen</c:v>
                </c:pt>
                <c:pt idx="4">
                  <c:v>Pika</c:v>
                </c:pt>
              </c:strCache>
            </c:strRef>
          </c:cat>
          <c:val>
            <c:numRef>
              <c:f>分析报告!$C$42:$C$46</c:f>
              <c:numCache>
                <c:formatCode>0.0%</c:formatCode>
                <c:ptCount val="5"/>
                <c:pt idx="0">
                  <c:v>0.26</c:v>
                </c:pt>
                <c:pt idx="1">
                  <c:v>0.18</c:v>
                </c:pt>
                <c:pt idx="2">
                  <c:v>0.35</c:v>
                </c:pt>
                <c:pt idx="3">
                  <c:v>0.33</c:v>
                </c:pt>
                <c:pt idx="4">
                  <c:v>0.24</c:v>
                </c:pt>
              </c:numCache>
            </c:numRef>
          </c:val>
        </c:ser>
        <c:ser>
          <c:idx val="2"/>
          <c:order val="2"/>
          <c:tx>
            <c:strRef>
              <c:f>"Paid Search"</c:f>
              <c:strCache>
                <c:ptCount val="1"/>
                <c:pt idx="0">
                  <c:v>Paid Search</c:v>
                </c:pt>
              </c:strCache>
            </c:strRef>
          </c:tx>
          <c:invertIfNegative val="0"/>
          <c:dLbls>
            <c:delete val="1"/>
          </c:dLbls>
          <c:cat>
            <c:strRef>
              <c:f>分析报告!$A$42:$A$46</c:f>
              <c:strCache>
                <c:ptCount val="5"/>
                <c:pt idx="0">
                  <c:v>Runway</c:v>
                </c:pt>
                <c:pt idx="1">
                  <c:v>Higgsfield</c:v>
                </c:pt>
                <c:pt idx="2">
                  <c:v>Liblib</c:v>
                </c:pt>
                <c:pt idx="3">
                  <c:v>HeyGen</c:v>
                </c:pt>
                <c:pt idx="4">
                  <c:v>Pika</c:v>
                </c:pt>
              </c:strCache>
            </c:strRef>
          </c:cat>
          <c:val>
            <c:numRef>
              <c:f>分析报告!$D$42:$D$46</c:f>
              <c:numCache>
                <c:formatCode>0.0%</c:formatCode>
                <c:ptCount val="5"/>
                <c:pt idx="0">
                  <c:v>0.09</c:v>
                </c:pt>
                <c:pt idx="1">
                  <c:v>0.06</c:v>
                </c:pt>
                <c:pt idx="2">
                  <c:v>0.04</c:v>
                </c:pt>
                <c:pt idx="3">
                  <c:v>0.14</c:v>
                </c:pt>
                <c:pt idx="4">
                  <c:v>0.08</c:v>
                </c:pt>
              </c:numCache>
            </c:numRef>
          </c:val>
        </c:ser>
        <c:ser>
          <c:idx val="3"/>
          <c:order val="3"/>
          <c:tx>
            <c:strRef>
              <c:f>"Referrals"</c:f>
              <c:strCache>
                <c:ptCount val="1"/>
                <c:pt idx="0">
                  <c:v>Referrals</c:v>
                </c:pt>
              </c:strCache>
            </c:strRef>
          </c:tx>
          <c:invertIfNegative val="0"/>
          <c:dLbls>
            <c:delete val="1"/>
          </c:dLbls>
          <c:cat>
            <c:strRef>
              <c:f>分析报告!$A$42:$A$46</c:f>
              <c:strCache>
                <c:ptCount val="5"/>
                <c:pt idx="0">
                  <c:v>Runway</c:v>
                </c:pt>
                <c:pt idx="1">
                  <c:v>Higgsfield</c:v>
                </c:pt>
                <c:pt idx="2">
                  <c:v>Liblib</c:v>
                </c:pt>
                <c:pt idx="3">
                  <c:v>HeyGen</c:v>
                </c:pt>
                <c:pt idx="4">
                  <c:v>Pika</c:v>
                </c:pt>
              </c:strCache>
            </c:strRef>
          </c:cat>
          <c:val>
            <c:numRef>
              <c:f>分析报告!$E$42:$E$46</c:f>
              <c:numCache>
                <c:formatCode>0.0%</c:formatCode>
                <c:ptCount val="5"/>
                <c:pt idx="0">
                  <c:v>0.13</c:v>
                </c:pt>
                <c:pt idx="1">
                  <c:v>0.16</c:v>
                </c:pt>
                <c:pt idx="2">
                  <c:v>0.18</c:v>
                </c:pt>
                <c:pt idx="3">
                  <c:v>0.1</c:v>
                </c:pt>
                <c:pt idx="4">
                  <c:v>0.11</c:v>
                </c:pt>
              </c:numCache>
            </c:numRef>
          </c:val>
        </c:ser>
        <c:ser>
          <c:idx val="4"/>
          <c:order val="4"/>
          <c:tx>
            <c:strRef>
              <c:f>"Organic Social"</c:f>
              <c:strCache>
                <c:ptCount val="1"/>
                <c:pt idx="0">
                  <c:v>Organic Social</c:v>
                </c:pt>
              </c:strCache>
            </c:strRef>
          </c:tx>
          <c:invertIfNegative val="0"/>
          <c:dLbls>
            <c:delete val="1"/>
          </c:dLbls>
          <c:cat>
            <c:strRef>
              <c:f>分析报告!$A$42:$A$46</c:f>
              <c:strCache>
                <c:ptCount val="5"/>
                <c:pt idx="0">
                  <c:v>Runway</c:v>
                </c:pt>
                <c:pt idx="1">
                  <c:v>Higgsfield</c:v>
                </c:pt>
                <c:pt idx="2">
                  <c:v>Liblib</c:v>
                </c:pt>
                <c:pt idx="3">
                  <c:v>HeyGen</c:v>
                </c:pt>
                <c:pt idx="4">
                  <c:v>Pika</c:v>
                </c:pt>
              </c:strCache>
            </c:strRef>
          </c:cat>
          <c:val>
            <c:numRef>
              <c:f>分析报告!$F$42:$F$46</c:f>
              <c:numCache>
                <c:formatCode>0.0%</c:formatCode>
                <c:ptCount val="5"/>
                <c:pt idx="0">
                  <c:v>0.14</c:v>
                </c:pt>
                <c:pt idx="1">
                  <c:v>0.32</c:v>
                </c:pt>
                <c:pt idx="2">
                  <c:v>0.1</c:v>
                </c:pt>
                <c:pt idx="3">
                  <c:v>0.1</c:v>
                </c:pt>
                <c:pt idx="4">
                  <c:v>0.25</c:v>
                </c:pt>
              </c:numCache>
            </c:numRef>
          </c:val>
        </c:ser>
        <c:ser>
          <c:idx val="5"/>
          <c:order val="5"/>
          <c:tx>
            <c:strRef>
              <c:f>"Paid Social"</c:f>
              <c:strCache>
                <c:ptCount val="1"/>
                <c:pt idx="0">
                  <c:v>Paid Social</c:v>
                </c:pt>
              </c:strCache>
            </c:strRef>
          </c:tx>
          <c:invertIfNegative val="0"/>
          <c:dLbls>
            <c:delete val="1"/>
          </c:dLbls>
          <c:cat>
            <c:strRef>
              <c:f>分析报告!$A$42:$A$46</c:f>
              <c:strCache>
                <c:ptCount val="5"/>
                <c:pt idx="0">
                  <c:v>Runway</c:v>
                </c:pt>
                <c:pt idx="1">
                  <c:v>Higgsfield</c:v>
                </c:pt>
                <c:pt idx="2">
                  <c:v>Liblib</c:v>
                </c:pt>
                <c:pt idx="3">
                  <c:v>HeyGen</c:v>
                </c:pt>
                <c:pt idx="4">
                  <c:v>Pika</c:v>
                </c:pt>
              </c:strCache>
            </c:strRef>
          </c:cat>
          <c:val>
            <c:numRef>
              <c:f>分析报告!$G$42:$G$46</c:f>
              <c:numCache>
                <c:formatCode>0.0%</c:formatCode>
                <c:ptCount val="5"/>
                <c:pt idx="0">
                  <c:v>0.04</c:v>
                </c:pt>
                <c:pt idx="1">
                  <c:v>0.06</c:v>
                </c:pt>
                <c:pt idx="2">
                  <c:v>0.02</c:v>
                </c:pt>
                <c:pt idx="3">
                  <c:v>0.04</c:v>
                </c:pt>
                <c:pt idx="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b6efdb-e9da-4843-8f68-309e26d6d5a8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355600</xdr:colOff>
      <xdr:row>16</xdr:row>
      <xdr:rowOff>81280</xdr:rowOff>
    </xdr:from>
    <xdr:to>
      <xdr:col>18</xdr:col>
      <xdr:colOff>203200</xdr:colOff>
      <xdr:row>33</xdr:row>
      <xdr:rowOff>119380</xdr:rowOff>
    </xdr:to>
    <xdr:graphicFrame>
      <xdr:nvGraphicFramePr>
        <xdr:cNvPr id="2" name="Chart"/>
        <xdr:cNvGraphicFramePr/>
      </xdr:nvGraphicFramePr>
      <xdr:xfrm>
        <a:off x="13169900" y="3125470"/>
        <a:ext cx="6705600" cy="3181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498475</xdr:colOff>
      <xdr:row>16</xdr:row>
      <xdr:rowOff>66040</xdr:rowOff>
    </xdr:from>
    <xdr:to>
      <xdr:col>28</xdr:col>
      <xdr:colOff>346075</xdr:colOff>
      <xdr:row>34</xdr:row>
      <xdr:rowOff>27940</xdr:rowOff>
    </xdr:to>
    <xdr:graphicFrame>
      <xdr:nvGraphicFramePr>
        <xdr:cNvPr id="3" name="Chart"/>
        <xdr:cNvGraphicFramePr/>
      </xdr:nvGraphicFramePr>
      <xdr:xfrm>
        <a:off x="20170775" y="3110230"/>
        <a:ext cx="6705600" cy="3295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showGridLines="0" tabSelected="1" zoomScale="99" zoomScaleNormal="99" workbookViewId="0">
      <pane ySplit="3" topLeftCell="A28" activePane="bottomLeft" state="frozen"/>
      <selection/>
      <selection pane="bottomLeft" activeCell="F32" sqref="F32:F36"/>
    </sheetView>
  </sheetViews>
  <sheetFormatPr defaultColWidth="9" defaultRowHeight="13.5"/>
  <cols>
    <col min="1" max="1" width="16" customWidth="1"/>
    <col min="2" max="2" width="40.6666666666667" customWidth="1"/>
    <col min="3" max="5" width="16" customWidth="1"/>
    <col min="6" max="6" width="31.5" customWidth="1"/>
    <col min="7" max="8" width="16" customWidth="1"/>
  </cols>
  <sheetData>
    <row r="1" ht="19.2" customHeight="1" spans="1:26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" customHeight="1" spans="1:26">
      <c r="A2" s="3" t="s">
        <v>1</v>
      </c>
      <c r="B2" s="3"/>
      <c r="C2" s="3"/>
      <c r="D2" s="3"/>
      <c r="E2" s="3"/>
      <c r="F2" s="3"/>
      <c r="G2" s="3"/>
      <c r="H2" s="3"/>
    </row>
    <row r="4" ht="15" customHeight="1" spans="1:26">
      <c r="A4" s="15" t="s">
        <v>2</v>
      </c>
      <c r="B4" s="15"/>
      <c r="C4" s="15"/>
      <c r="D4" s="15"/>
      <c r="E4" s="15"/>
      <c r="F4" s="15"/>
      <c r="G4" s="15"/>
      <c r="H4" s="15"/>
    </row>
    <row r="5" ht="15" customHeight="1" spans="1:26">
      <c r="A5" s="16" t="s">
        <v>3</v>
      </c>
      <c r="B5" s="17" t="s">
        <v>4</v>
      </c>
      <c r="C5" s="17"/>
      <c r="D5" s="17"/>
      <c r="E5" s="17"/>
      <c r="F5" s="17"/>
      <c r="G5" s="17"/>
      <c r="H5" s="17"/>
    </row>
    <row r="6" ht="15" customHeight="1" spans="1:26">
      <c r="A6" s="18" t="s">
        <v>5</v>
      </c>
      <c r="B6" s="19" t="s">
        <v>6</v>
      </c>
      <c r="C6" s="19"/>
      <c r="D6" s="19"/>
      <c r="E6" s="19"/>
      <c r="F6" s="19"/>
      <c r="G6" s="19"/>
      <c r="H6" s="19"/>
    </row>
    <row r="7" ht="15" customHeight="1" spans="1:26">
      <c r="A7" s="16" t="s">
        <v>7</v>
      </c>
      <c r="B7" s="17" t="s">
        <v>8</v>
      </c>
      <c r="C7" s="17"/>
      <c r="D7" s="17"/>
      <c r="E7" s="17"/>
      <c r="F7" s="17"/>
      <c r="G7" s="17"/>
      <c r="H7" s="17"/>
    </row>
    <row r="8" ht="15" customHeight="1"/>
    <row r="10" ht="15" customHeight="1" spans="1:26">
      <c r="A10" s="4" t="s">
        <v>9</v>
      </c>
      <c r="B10" s="4" t="s">
        <v>10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15</v>
      </c>
      <c r="H10" s="4" t="s">
        <v>16</v>
      </c>
    </row>
    <row r="11" ht="15" customHeight="1" spans="1:26">
      <c r="A11" s="5" t="s">
        <v>17</v>
      </c>
      <c r="B11" s="5" t="s">
        <v>18</v>
      </c>
      <c r="C11" s="11">
        <v>68100000</v>
      </c>
      <c r="D11" s="11">
        <v>14200000</v>
      </c>
      <c r="E11" s="12">
        <v>0.543478260869565</v>
      </c>
      <c r="F11" s="12">
        <v>0.333007334963325</v>
      </c>
      <c r="G11" s="9" t="s">
        <v>19</v>
      </c>
      <c r="H11" s="9" t="s">
        <v>20</v>
      </c>
    </row>
    <row r="12" ht="15" customHeight="1" spans="1:26">
      <c r="A12" s="7" t="s">
        <v>21</v>
      </c>
      <c r="B12" s="7" t="s">
        <v>22</v>
      </c>
      <c r="C12" s="13">
        <v>49900000</v>
      </c>
      <c r="D12" s="13">
        <v>10400000</v>
      </c>
      <c r="E12" s="14">
        <v>0.529411764705882</v>
      </c>
      <c r="F12" s="14">
        <v>0.2440097799511</v>
      </c>
      <c r="G12" s="10" t="s">
        <v>23</v>
      </c>
      <c r="H12" s="10" t="s">
        <v>24</v>
      </c>
    </row>
    <row r="13" ht="15" customHeight="1" spans="1:26">
      <c r="A13" s="5" t="s">
        <v>25</v>
      </c>
      <c r="B13" s="5" t="s">
        <v>26</v>
      </c>
      <c r="C13" s="11">
        <v>33900000</v>
      </c>
      <c r="D13" s="11">
        <v>7600000</v>
      </c>
      <c r="E13" s="12">
        <v>0.80952380952381</v>
      </c>
      <c r="F13" s="12">
        <v>0.165770171149144</v>
      </c>
      <c r="G13" s="9" t="s">
        <v>27</v>
      </c>
      <c r="H13" s="9" t="s">
        <v>28</v>
      </c>
    </row>
    <row r="14" ht="15" customHeight="1" spans="1:26">
      <c r="A14" s="7" t="s">
        <v>29</v>
      </c>
      <c r="B14" s="7" t="s">
        <v>30</v>
      </c>
      <c r="C14" s="13">
        <v>31800000</v>
      </c>
      <c r="D14" s="13">
        <v>6300000</v>
      </c>
      <c r="E14" s="14">
        <v>0.26</v>
      </c>
      <c r="F14" s="14">
        <v>0.155501222493888</v>
      </c>
      <c r="G14" s="10" t="s">
        <v>31</v>
      </c>
      <c r="H14" s="10" t="s">
        <v>24</v>
      </c>
    </row>
    <row r="15" ht="15" customHeight="1" spans="1:26">
      <c r="A15" s="5" t="s">
        <v>32</v>
      </c>
      <c r="B15" s="5" t="s">
        <v>33</v>
      </c>
      <c r="C15" s="11">
        <v>20800000</v>
      </c>
      <c r="D15" s="11">
        <v>7200000</v>
      </c>
      <c r="E15" s="12">
        <v>5</v>
      </c>
      <c r="F15" s="12">
        <v>0.101711491442543</v>
      </c>
      <c r="G15" s="9" t="s">
        <v>34</v>
      </c>
      <c r="H15" s="9" t="s">
        <v>35</v>
      </c>
    </row>
    <row r="18" ht="15" customHeight="1" spans="1:8">
      <c r="A18" s="15" t="s">
        <v>36</v>
      </c>
      <c r="B18" s="15"/>
      <c r="C18" s="15"/>
      <c r="D18" s="15"/>
      <c r="E18" s="15"/>
      <c r="F18" s="15"/>
      <c r="G18" s="15"/>
      <c r="H18" s="15"/>
    </row>
    <row r="20" ht="15" customHeight="1" spans="1:8">
      <c r="A20" s="4" t="s">
        <v>37</v>
      </c>
      <c r="B20" s="4" t="s">
        <v>17</v>
      </c>
      <c r="C20" s="4" t="s">
        <v>32</v>
      </c>
      <c r="D20" s="4" t="s">
        <v>25</v>
      </c>
      <c r="E20" s="4" t="s">
        <v>21</v>
      </c>
      <c r="F20" s="4" t="s">
        <v>29</v>
      </c>
    </row>
    <row r="21" ht="15" customHeight="1" spans="1:8">
      <c r="A21" s="5" t="s">
        <v>38</v>
      </c>
      <c r="B21" s="11">
        <v>9200000</v>
      </c>
      <c r="C21" s="11">
        <v>1200000</v>
      </c>
      <c r="D21" s="11">
        <v>4200000</v>
      </c>
      <c r="E21" s="11">
        <v>6800000</v>
      </c>
      <c r="F21" s="11">
        <v>5000000</v>
      </c>
    </row>
    <row r="22" ht="15" customHeight="1" spans="1:8">
      <c r="A22" s="7" t="s">
        <v>39</v>
      </c>
      <c r="B22" s="13">
        <v>9800000</v>
      </c>
      <c r="C22" s="13">
        <v>1600000</v>
      </c>
      <c r="D22" s="13">
        <v>4600000</v>
      </c>
      <c r="E22" s="13">
        <v>7200000</v>
      </c>
      <c r="F22" s="13">
        <v>4700000</v>
      </c>
    </row>
    <row r="23" ht="15" customHeight="1" spans="1:8">
      <c r="A23" s="5" t="s">
        <v>40</v>
      </c>
      <c r="B23" s="11">
        <v>10500000</v>
      </c>
      <c r="C23" s="11">
        <v>2300000</v>
      </c>
      <c r="D23" s="11">
        <v>5100000</v>
      </c>
      <c r="E23" s="11">
        <v>7800000</v>
      </c>
      <c r="F23" s="11">
        <v>4900000</v>
      </c>
    </row>
    <row r="24" ht="15" customHeight="1" spans="1:8">
      <c r="A24" s="7" t="s">
        <v>41</v>
      </c>
      <c r="B24" s="13">
        <v>11600000</v>
      </c>
      <c r="C24" s="13">
        <v>3400000</v>
      </c>
      <c r="D24" s="13">
        <v>5800000</v>
      </c>
      <c r="E24" s="13">
        <v>8400000</v>
      </c>
      <c r="F24" s="13">
        <v>5200000</v>
      </c>
    </row>
    <row r="25" ht="15" customHeight="1" spans="1:8">
      <c r="A25" s="5" t="s">
        <v>42</v>
      </c>
      <c r="B25" s="11">
        <v>12800000</v>
      </c>
      <c r="C25" s="11">
        <v>5100000</v>
      </c>
      <c r="D25" s="11">
        <v>6600000</v>
      </c>
      <c r="E25" s="11">
        <v>9300000</v>
      </c>
      <c r="F25" s="11">
        <v>5700000</v>
      </c>
    </row>
    <row r="26" ht="15" customHeight="1" spans="1:8">
      <c r="A26" s="7" t="s">
        <v>43</v>
      </c>
      <c r="B26" s="13">
        <v>14200000</v>
      </c>
      <c r="C26" s="13">
        <v>7200000</v>
      </c>
      <c r="D26" s="13">
        <v>7600000</v>
      </c>
      <c r="E26" s="13">
        <v>10400000</v>
      </c>
      <c r="F26" s="13">
        <v>6300000</v>
      </c>
    </row>
    <row r="29" ht="15" customHeight="1" spans="1:8">
      <c r="A29" s="15" t="s">
        <v>44</v>
      </c>
      <c r="B29" s="15"/>
      <c r="C29" s="15"/>
      <c r="D29" s="15"/>
      <c r="E29" s="15"/>
      <c r="F29" s="15"/>
      <c r="G29" s="15"/>
      <c r="H29" s="15"/>
    </row>
    <row r="31" ht="15" customHeight="1" spans="1:8">
      <c r="A31" s="4" t="s">
        <v>9</v>
      </c>
      <c r="B31" s="4" t="s">
        <v>45</v>
      </c>
      <c r="C31" s="4" t="s">
        <v>46</v>
      </c>
      <c r="D31" s="4" t="s">
        <v>47</v>
      </c>
      <c r="E31" s="4" t="s">
        <v>48</v>
      </c>
      <c r="F31" s="4" t="s">
        <v>49</v>
      </c>
    </row>
    <row r="32" ht="15" customHeight="1" spans="1:8">
      <c r="A32" s="5" t="s">
        <v>17</v>
      </c>
      <c r="B32" s="12">
        <v>0.38</v>
      </c>
      <c r="C32" s="20">
        <v>5.1</v>
      </c>
      <c r="D32" s="20">
        <v>455</v>
      </c>
      <c r="E32" s="20">
        <v>2.15</v>
      </c>
      <c r="F32" s="6" t="s">
        <v>50</v>
      </c>
    </row>
    <row r="33" ht="15" customHeight="1" spans="1:8">
      <c r="A33" s="7" t="s">
        <v>32</v>
      </c>
      <c r="B33" s="14">
        <v>0.31</v>
      </c>
      <c r="C33" s="21">
        <v>4.3</v>
      </c>
      <c r="D33" s="21">
        <v>392</v>
      </c>
      <c r="E33" s="21">
        <v>1.88</v>
      </c>
      <c r="F33" s="8" t="s">
        <v>51</v>
      </c>
    </row>
    <row r="34" ht="15" customHeight="1" spans="1:8">
      <c r="A34" s="5" t="s">
        <v>25</v>
      </c>
      <c r="B34" s="12">
        <v>0.43</v>
      </c>
      <c r="C34" s="20">
        <v>6.2</v>
      </c>
      <c r="D34" s="20">
        <v>510</v>
      </c>
      <c r="E34" s="20">
        <v>2.45</v>
      </c>
      <c r="F34" s="6" t="s">
        <v>52</v>
      </c>
    </row>
    <row r="35" ht="15" customHeight="1" spans="1:8">
      <c r="A35" s="7" t="s">
        <v>21</v>
      </c>
      <c r="B35" s="14">
        <v>0.36</v>
      </c>
      <c r="C35" s="21">
        <v>4.8</v>
      </c>
      <c r="D35" s="21">
        <v>420</v>
      </c>
      <c r="E35" s="21">
        <v>2.05</v>
      </c>
      <c r="F35" s="8" t="s">
        <v>50</v>
      </c>
    </row>
    <row r="36" ht="15" customHeight="1" spans="1:8">
      <c r="A36" s="5" t="s">
        <v>29</v>
      </c>
      <c r="B36" s="12">
        <v>0.41</v>
      </c>
      <c r="C36" s="20">
        <v>3.9</v>
      </c>
      <c r="D36" s="20">
        <v>360</v>
      </c>
      <c r="E36" s="20">
        <v>1.72</v>
      </c>
      <c r="F36" s="6" t="s">
        <v>50</v>
      </c>
    </row>
    <row r="39" ht="15" customHeight="1" spans="1:8">
      <c r="A39" s="15" t="s">
        <v>53</v>
      </c>
      <c r="B39" s="15"/>
      <c r="C39" s="15"/>
      <c r="D39" s="15"/>
      <c r="E39" s="15"/>
      <c r="F39" s="15"/>
      <c r="G39" s="15"/>
      <c r="H39" s="15"/>
    </row>
    <row r="41" ht="15" customHeight="1" spans="1:8">
      <c r="A41" s="4" t="s">
        <v>9</v>
      </c>
      <c r="B41" s="4" t="s">
        <v>54</v>
      </c>
      <c r="C41" s="4" t="s">
        <v>55</v>
      </c>
      <c r="D41" s="4" t="s">
        <v>56</v>
      </c>
      <c r="E41" s="4" t="s">
        <v>57</v>
      </c>
      <c r="F41" s="4" t="s">
        <v>58</v>
      </c>
      <c r="G41" s="4" t="s">
        <v>59</v>
      </c>
    </row>
    <row r="42" ht="15" customHeight="1" spans="1:8">
      <c r="A42" s="5" t="s">
        <v>17</v>
      </c>
      <c r="B42" s="12">
        <v>0.34</v>
      </c>
      <c r="C42" s="12">
        <v>0.26</v>
      </c>
      <c r="D42" s="12">
        <v>0.09</v>
      </c>
      <c r="E42" s="12">
        <v>0.13</v>
      </c>
      <c r="F42" s="12">
        <v>0.14</v>
      </c>
      <c r="G42" s="12">
        <v>0.04</v>
      </c>
    </row>
    <row r="43" ht="15" customHeight="1" spans="1:8">
      <c r="A43" s="7" t="s">
        <v>32</v>
      </c>
      <c r="B43" s="14">
        <v>0.22</v>
      </c>
      <c r="C43" s="14">
        <v>0.18</v>
      </c>
      <c r="D43" s="14">
        <v>0.06</v>
      </c>
      <c r="E43" s="14">
        <v>0.16</v>
      </c>
      <c r="F43" s="14">
        <v>0.32</v>
      </c>
      <c r="G43" s="14">
        <v>0.06</v>
      </c>
    </row>
    <row r="44" ht="15" customHeight="1" spans="1:8">
      <c r="A44" s="5" t="s">
        <v>25</v>
      </c>
      <c r="B44" s="12">
        <v>0.31</v>
      </c>
      <c r="C44" s="12">
        <v>0.35</v>
      </c>
      <c r="D44" s="12">
        <v>0.04</v>
      </c>
      <c r="E44" s="12">
        <v>0.18</v>
      </c>
      <c r="F44" s="12">
        <v>0.1</v>
      </c>
      <c r="G44" s="12">
        <v>0.02</v>
      </c>
    </row>
    <row r="45" ht="15" customHeight="1" spans="1:8">
      <c r="A45" s="7" t="s">
        <v>21</v>
      </c>
      <c r="B45" s="14">
        <v>0.29</v>
      </c>
      <c r="C45" s="14">
        <v>0.33</v>
      </c>
      <c r="D45" s="14">
        <v>0.14</v>
      </c>
      <c r="E45" s="14">
        <v>0.1</v>
      </c>
      <c r="F45" s="14">
        <v>0.1</v>
      </c>
      <c r="G45" s="14">
        <v>0.04</v>
      </c>
    </row>
    <row r="46" ht="15" customHeight="1" spans="1:8">
      <c r="A46" s="5" t="s">
        <v>29</v>
      </c>
      <c r="B46" s="12">
        <v>0.27</v>
      </c>
      <c r="C46" s="12">
        <v>0.24</v>
      </c>
      <c r="D46" s="12">
        <v>0.08</v>
      </c>
      <c r="E46" s="12">
        <v>0.11</v>
      </c>
      <c r="F46" s="12">
        <v>0.25</v>
      </c>
      <c r="G46" s="12">
        <v>0.05</v>
      </c>
    </row>
    <row r="49" ht="15" customHeight="1" spans="1:8">
      <c r="A49" s="15" t="s">
        <v>60</v>
      </c>
      <c r="B49" s="15"/>
      <c r="C49" s="15"/>
      <c r="D49" s="15"/>
      <c r="E49" s="15"/>
      <c r="F49" s="15"/>
      <c r="G49" s="15"/>
      <c r="H49" s="15"/>
    </row>
    <row r="51" ht="15" customHeight="1" spans="1:8">
      <c r="A51" s="4" t="s">
        <v>61</v>
      </c>
      <c r="B51" s="4" t="s">
        <v>62</v>
      </c>
      <c r="C51" s="4" t="s">
        <v>63</v>
      </c>
      <c r="D51" s="4" t="s">
        <v>64</v>
      </c>
      <c r="E51" s="4" t="s">
        <v>65</v>
      </c>
      <c r="F51" s="4" t="s">
        <v>66</v>
      </c>
      <c r="G51" s="4" t="s">
        <v>67</v>
      </c>
      <c r="H51" s="4" t="s">
        <v>68</v>
      </c>
    </row>
    <row r="52" ht="15" customHeight="1" spans="1:8">
      <c r="A52" s="22" t="s">
        <v>69</v>
      </c>
      <c r="B52" s="6" t="s">
        <v>70</v>
      </c>
      <c r="C52" s="6" t="s">
        <v>71</v>
      </c>
      <c r="D52" s="6" t="s">
        <v>72</v>
      </c>
      <c r="E52" s="6" t="s">
        <v>73</v>
      </c>
      <c r="F52" s="6" t="s">
        <v>74</v>
      </c>
      <c r="G52" s="6" t="s">
        <v>75</v>
      </c>
      <c r="H52" s="6" t="s">
        <v>76</v>
      </c>
    </row>
    <row r="53" ht="15" customHeight="1" spans="1:8">
      <c r="A53" s="7" t="s">
        <v>77</v>
      </c>
      <c r="B53" s="8" t="s">
        <v>78</v>
      </c>
      <c r="C53" s="8" t="s">
        <v>79</v>
      </c>
      <c r="D53" s="8" t="s">
        <v>80</v>
      </c>
      <c r="E53" s="8" t="s">
        <v>73</v>
      </c>
      <c r="F53" s="8" t="s">
        <v>81</v>
      </c>
      <c r="G53" s="8" t="s">
        <v>82</v>
      </c>
      <c r="H53" s="8" t="s">
        <v>83</v>
      </c>
    </row>
    <row r="54" ht="15" customHeight="1" spans="1:8">
      <c r="A54" s="5" t="s">
        <v>84</v>
      </c>
      <c r="B54" s="6" t="s">
        <v>85</v>
      </c>
      <c r="C54" s="6" t="s">
        <v>25</v>
      </c>
      <c r="D54" s="6" t="s">
        <v>86</v>
      </c>
      <c r="E54" s="6" t="s">
        <v>87</v>
      </c>
      <c r="F54" s="6" t="s">
        <v>88</v>
      </c>
      <c r="G54" s="6" t="s">
        <v>89</v>
      </c>
      <c r="H54" s="6" t="s">
        <v>90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2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3.5"/>
  <cols>
    <col min="1" max="1" width="62.5" customWidth="1"/>
    <col min="2" max="2" width="12" customWidth="1"/>
    <col min="3" max="3" width="14.5" customWidth="1"/>
    <col min="4" max="4" width="19.5" customWidth="1"/>
    <col min="5" max="5" width="45.25" customWidth="1"/>
    <col min="6" max="6" width="34.25" customWidth="1"/>
    <col min="7" max="7" width="5.25" customWidth="1"/>
    <col min="8" max="8" width="14.75" customWidth="1"/>
  </cols>
  <sheetData>
    <row r="1" ht="19.2" customHeight="1" spans="1:26">
      <c r="A1" s="1" t="s">
        <v>91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" customHeight="1" spans="1:26">
      <c r="A2" s="3" t="s">
        <v>92</v>
      </c>
      <c r="B2" s="3"/>
      <c r="C2" s="3"/>
      <c r="D2" s="3"/>
      <c r="E2" s="3"/>
      <c r="F2" s="3"/>
      <c r="G2" s="3"/>
      <c r="H2" s="3"/>
    </row>
    <row r="4" ht="15" customHeight="1" spans="1:26">
      <c r="A4" s="4" t="s">
        <v>93</v>
      </c>
      <c r="B4" s="4" t="s">
        <v>94</v>
      </c>
      <c r="C4" s="4" t="s">
        <v>95</v>
      </c>
      <c r="D4" s="4" t="s">
        <v>96</v>
      </c>
      <c r="E4" s="4" t="s">
        <v>97</v>
      </c>
      <c r="F4" s="4" t="s">
        <v>98</v>
      </c>
    </row>
    <row r="5" ht="15" customHeight="1" spans="1:26">
      <c r="A5" s="5" t="s">
        <v>99</v>
      </c>
      <c r="B5" s="5" t="s">
        <v>17</v>
      </c>
      <c r="C5" s="5" t="s">
        <v>18</v>
      </c>
      <c r="D5" s="5" t="s">
        <v>100</v>
      </c>
      <c r="E5" s="9" t="s">
        <v>19</v>
      </c>
      <c r="F5" s="9" t="s">
        <v>101</v>
      </c>
    </row>
    <row r="6" ht="15" customHeight="1" spans="1:26">
      <c r="A6" s="7" t="s">
        <v>102</v>
      </c>
      <c r="B6" s="7" t="s">
        <v>32</v>
      </c>
      <c r="C6" s="7" t="s">
        <v>33</v>
      </c>
      <c r="D6" s="7" t="s">
        <v>103</v>
      </c>
      <c r="E6" s="10" t="s">
        <v>34</v>
      </c>
      <c r="F6" s="10" t="s">
        <v>104</v>
      </c>
    </row>
    <row r="7" ht="15" customHeight="1" spans="1:26">
      <c r="A7" s="5" t="s">
        <v>105</v>
      </c>
      <c r="B7" s="5" t="s">
        <v>25</v>
      </c>
      <c r="C7" s="5" t="s">
        <v>26</v>
      </c>
      <c r="D7" s="5" t="s">
        <v>106</v>
      </c>
      <c r="E7" s="9" t="s">
        <v>27</v>
      </c>
      <c r="F7" s="9" t="s">
        <v>107</v>
      </c>
    </row>
    <row r="8" ht="15" customHeight="1" spans="1:26">
      <c r="A8" s="7" t="s">
        <v>108</v>
      </c>
      <c r="B8" s="7" t="s">
        <v>21</v>
      </c>
      <c r="C8" s="7" t="s">
        <v>22</v>
      </c>
      <c r="D8" s="7" t="s">
        <v>109</v>
      </c>
      <c r="E8" s="10" t="s">
        <v>23</v>
      </c>
      <c r="F8" s="10" t="s">
        <v>110</v>
      </c>
    </row>
    <row r="9" ht="15" customHeight="1" spans="1:26">
      <c r="A9" s="5" t="s">
        <v>111</v>
      </c>
      <c r="B9" s="5" t="s">
        <v>29</v>
      </c>
      <c r="C9" s="5" t="s">
        <v>30</v>
      </c>
      <c r="D9" s="5" t="s">
        <v>112</v>
      </c>
      <c r="E9" s="9" t="s">
        <v>31</v>
      </c>
      <c r="F9" s="9" t="s">
        <v>113</v>
      </c>
    </row>
    <row r="12" ht="15" customHeight="1" spans="1:26">
      <c r="A12" s="4" t="s">
        <v>95</v>
      </c>
      <c r="B12" s="4" t="s">
        <v>114</v>
      </c>
      <c r="C12" s="4" t="s">
        <v>115</v>
      </c>
      <c r="E12" s="4" t="s">
        <v>95</v>
      </c>
      <c r="F12" s="4" t="s">
        <v>116</v>
      </c>
      <c r="G12" s="4" t="s">
        <v>117</v>
      </c>
      <c r="H12" s="4" t="s">
        <v>118</v>
      </c>
    </row>
    <row r="13" ht="15" customHeight="1" spans="1:26">
      <c r="A13" s="5" t="s">
        <v>18</v>
      </c>
      <c r="B13" s="5" t="s">
        <v>38</v>
      </c>
      <c r="C13" s="11">
        <v>9200000</v>
      </c>
      <c r="E13" s="5" t="s">
        <v>18</v>
      </c>
      <c r="F13" s="5" t="s">
        <v>54</v>
      </c>
      <c r="G13" s="12">
        <v>0.34</v>
      </c>
      <c r="H13" s="5" t="s">
        <v>119</v>
      </c>
    </row>
    <row r="14" ht="15" customHeight="1" spans="1:26">
      <c r="A14" s="7" t="s">
        <v>18</v>
      </c>
      <c r="B14" s="7" t="s">
        <v>39</v>
      </c>
      <c r="C14" s="13">
        <v>9800000</v>
      </c>
      <c r="E14" s="7" t="s">
        <v>18</v>
      </c>
      <c r="F14" s="7" t="s">
        <v>55</v>
      </c>
      <c r="G14" s="14">
        <v>0.26</v>
      </c>
      <c r="H14" s="7" t="s">
        <v>119</v>
      </c>
    </row>
    <row r="15" ht="15" customHeight="1" spans="1:26">
      <c r="A15" s="5" t="s">
        <v>18</v>
      </c>
      <c r="B15" s="5" t="s">
        <v>40</v>
      </c>
      <c r="C15" s="11">
        <v>10500000</v>
      </c>
      <c r="E15" s="5" t="s">
        <v>18</v>
      </c>
      <c r="F15" s="5" t="s">
        <v>56</v>
      </c>
      <c r="G15" s="12">
        <v>0.09</v>
      </c>
      <c r="H15" s="5" t="s">
        <v>119</v>
      </c>
    </row>
    <row r="16" ht="15" customHeight="1" spans="1:26">
      <c r="A16" s="7" t="s">
        <v>18</v>
      </c>
      <c r="B16" s="7" t="s">
        <v>41</v>
      </c>
      <c r="C16" s="13">
        <v>11600000</v>
      </c>
      <c r="E16" s="7" t="s">
        <v>18</v>
      </c>
      <c r="F16" s="7" t="s">
        <v>57</v>
      </c>
      <c r="G16" s="14">
        <v>0.13</v>
      </c>
      <c r="H16" s="7" t="s">
        <v>119</v>
      </c>
    </row>
    <row r="17" ht="15" customHeight="1" spans="1:8">
      <c r="A17" s="5" t="s">
        <v>18</v>
      </c>
      <c r="B17" s="5" t="s">
        <v>42</v>
      </c>
      <c r="C17" s="11">
        <v>12800000</v>
      </c>
      <c r="E17" s="5" t="s">
        <v>18</v>
      </c>
      <c r="F17" s="5" t="s">
        <v>58</v>
      </c>
      <c r="G17" s="12">
        <v>0.14</v>
      </c>
      <c r="H17" s="5" t="s">
        <v>119</v>
      </c>
    </row>
    <row r="18" ht="15" customHeight="1" spans="1:8">
      <c r="A18" s="7" t="s">
        <v>18</v>
      </c>
      <c r="B18" s="7" t="s">
        <v>43</v>
      </c>
      <c r="C18" s="13">
        <v>14200000</v>
      </c>
      <c r="E18" s="7" t="s">
        <v>18</v>
      </c>
      <c r="F18" s="7" t="s">
        <v>59</v>
      </c>
      <c r="G18" s="14">
        <v>0.04</v>
      </c>
      <c r="H18" s="7" t="s">
        <v>119</v>
      </c>
    </row>
    <row r="19" ht="15" customHeight="1" spans="1:8">
      <c r="A19" s="5" t="s">
        <v>33</v>
      </c>
      <c r="B19" s="5" t="s">
        <v>38</v>
      </c>
      <c r="C19" s="11">
        <v>1200000</v>
      </c>
      <c r="E19" s="5" t="s">
        <v>33</v>
      </c>
      <c r="F19" s="5" t="s">
        <v>54</v>
      </c>
      <c r="G19" s="12">
        <v>0.22</v>
      </c>
      <c r="H19" s="5" t="s">
        <v>119</v>
      </c>
    </row>
    <row r="20" ht="15" customHeight="1" spans="1:8">
      <c r="A20" s="7" t="s">
        <v>33</v>
      </c>
      <c r="B20" s="7" t="s">
        <v>39</v>
      </c>
      <c r="C20" s="13">
        <v>1600000</v>
      </c>
      <c r="E20" s="7" t="s">
        <v>33</v>
      </c>
      <c r="F20" s="7" t="s">
        <v>55</v>
      </c>
      <c r="G20" s="14">
        <v>0.18</v>
      </c>
      <c r="H20" s="7" t="s">
        <v>119</v>
      </c>
    </row>
    <row r="21" ht="15" customHeight="1" spans="1:8">
      <c r="A21" s="5" t="s">
        <v>33</v>
      </c>
      <c r="B21" s="5" t="s">
        <v>40</v>
      </c>
      <c r="C21" s="11">
        <v>2300000</v>
      </c>
      <c r="E21" s="5" t="s">
        <v>33</v>
      </c>
      <c r="F21" s="5" t="s">
        <v>56</v>
      </c>
      <c r="G21" s="12">
        <v>0.06</v>
      </c>
      <c r="H21" s="5" t="s">
        <v>119</v>
      </c>
    </row>
    <row r="22" ht="15" customHeight="1" spans="1:8">
      <c r="A22" s="7" t="s">
        <v>33</v>
      </c>
      <c r="B22" s="7" t="s">
        <v>41</v>
      </c>
      <c r="C22" s="13">
        <v>3400000</v>
      </c>
      <c r="E22" s="7" t="s">
        <v>33</v>
      </c>
      <c r="F22" s="7" t="s">
        <v>57</v>
      </c>
      <c r="G22" s="14">
        <v>0.16</v>
      </c>
      <c r="H22" s="7" t="s">
        <v>119</v>
      </c>
    </row>
    <row r="23" ht="15" customHeight="1" spans="1:8">
      <c r="A23" s="5" t="s">
        <v>33</v>
      </c>
      <c r="B23" s="5" t="s">
        <v>42</v>
      </c>
      <c r="C23" s="11">
        <v>5100000</v>
      </c>
      <c r="E23" s="5" t="s">
        <v>33</v>
      </c>
      <c r="F23" s="5" t="s">
        <v>58</v>
      </c>
      <c r="G23" s="12">
        <v>0.32</v>
      </c>
      <c r="H23" s="5" t="s">
        <v>119</v>
      </c>
    </row>
    <row r="24" ht="15" customHeight="1" spans="1:8">
      <c r="A24" s="7" t="s">
        <v>33</v>
      </c>
      <c r="B24" s="7" t="s">
        <v>43</v>
      </c>
      <c r="C24" s="13">
        <v>7200000</v>
      </c>
      <c r="E24" s="7" t="s">
        <v>33</v>
      </c>
      <c r="F24" s="7" t="s">
        <v>59</v>
      </c>
      <c r="G24" s="14">
        <v>0.06</v>
      </c>
      <c r="H24" s="7" t="s">
        <v>119</v>
      </c>
    </row>
    <row r="25" ht="15" customHeight="1" spans="1:8">
      <c r="A25" s="5" t="s">
        <v>26</v>
      </c>
      <c r="B25" s="5" t="s">
        <v>38</v>
      </c>
      <c r="C25" s="11">
        <v>4200000</v>
      </c>
      <c r="E25" s="5" t="s">
        <v>26</v>
      </c>
      <c r="F25" s="5" t="s">
        <v>54</v>
      </c>
      <c r="G25" s="12">
        <v>0.31</v>
      </c>
      <c r="H25" s="5" t="s">
        <v>119</v>
      </c>
    </row>
    <row r="26" ht="15" customHeight="1" spans="1:8">
      <c r="A26" s="7" t="s">
        <v>26</v>
      </c>
      <c r="B26" s="7" t="s">
        <v>39</v>
      </c>
      <c r="C26" s="13">
        <v>4600000</v>
      </c>
      <c r="E26" s="7" t="s">
        <v>26</v>
      </c>
      <c r="F26" s="7" t="s">
        <v>55</v>
      </c>
      <c r="G26" s="14">
        <v>0.35</v>
      </c>
      <c r="H26" s="7" t="s">
        <v>119</v>
      </c>
    </row>
    <row r="27" ht="15" customHeight="1" spans="1:8">
      <c r="A27" s="5" t="s">
        <v>26</v>
      </c>
      <c r="B27" s="5" t="s">
        <v>40</v>
      </c>
      <c r="C27" s="11">
        <v>5100000</v>
      </c>
      <c r="E27" s="5" t="s">
        <v>26</v>
      </c>
      <c r="F27" s="5" t="s">
        <v>56</v>
      </c>
      <c r="G27" s="12">
        <v>0.04</v>
      </c>
      <c r="H27" s="5" t="s">
        <v>119</v>
      </c>
    </row>
    <row r="28" ht="15" customHeight="1" spans="1:8">
      <c r="A28" s="7" t="s">
        <v>26</v>
      </c>
      <c r="B28" s="7" t="s">
        <v>41</v>
      </c>
      <c r="C28" s="13">
        <v>5800000</v>
      </c>
      <c r="E28" s="7" t="s">
        <v>26</v>
      </c>
      <c r="F28" s="7" t="s">
        <v>57</v>
      </c>
      <c r="G28" s="14">
        <v>0.18</v>
      </c>
      <c r="H28" s="7" t="s">
        <v>119</v>
      </c>
    </row>
    <row r="29" ht="15" customHeight="1" spans="1:8">
      <c r="A29" s="5" t="s">
        <v>26</v>
      </c>
      <c r="B29" s="5" t="s">
        <v>42</v>
      </c>
      <c r="C29" s="11">
        <v>6600000</v>
      </c>
      <c r="E29" s="5" t="s">
        <v>26</v>
      </c>
      <c r="F29" s="5" t="s">
        <v>58</v>
      </c>
      <c r="G29" s="12">
        <v>0.1</v>
      </c>
      <c r="H29" s="5" t="s">
        <v>119</v>
      </c>
    </row>
    <row r="30" ht="15" customHeight="1" spans="1:8">
      <c r="A30" s="7" t="s">
        <v>26</v>
      </c>
      <c r="B30" s="7" t="s">
        <v>43</v>
      </c>
      <c r="C30" s="13">
        <v>7600000</v>
      </c>
      <c r="E30" s="7" t="s">
        <v>26</v>
      </c>
      <c r="F30" s="7" t="s">
        <v>59</v>
      </c>
      <c r="G30" s="14">
        <v>0.02</v>
      </c>
      <c r="H30" s="7" t="s">
        <v>119</v>
      </c>
    </row>
    <row r="31" ht="15" customHeight="1" spans="1:8">
      <c r="A31" s="5" t="s">
        <v>22</v>
      </c>
      <c r="B31" s="5" t="s">
        <v>38</v>
      </c>
      <c r="C31" s="11">
        <v>6800000</v>
      </c>
      <c r="E31" s="5" t="s">
        <v>22</v>
      </c>
      <c r="F31" s="5" t="s">
        <v>54</v>
      </c>
      <c r="G31" s="12">
        <v>0.29</v>
      </c>
      <c r="H31" s="5" t="s">
        <v>119</v>
      </c>
    </row>
    <row r="32" ht="15" customHeight="1" spans="1:8">
      <c r="A32" s="7" t="s">
        <v>22</v>
      </c>
      <c r="B32" s="7" t="s">
        <v>39</v>
      </c>
      <c r="C32" s="13">
        <v>7200000</v>
      </c>
      <c r="E32" s="7" t="s">
        <v>22</v>
      </c>
      <c r="F32" s="7" t="s">
        <v>55</v>
      </c>
      <c r="G32" s="14">
        <v>0.33</v>
      </c>
      <c r="H32" s="7" t="s">
        <v>119</v>
      </c>
    </row>
    <row r="33" ht="15" customHeight="1" spans="1:8">
      <c r="A33" s="5" t="s">
        <v>22</v>
      </c>
      <c r="B33" s="5" t="s">
        <v>40</v>
      </c>
      <c r="C33" s="11">
        <v>7800000</v>
      </c>
      <c r="E33" s="5" t="s">
        <v>22</v>
      </c>
      <c r="F33" s="5" t="s">
        <v>56</v>
      </c>
      <c r="G33" s="12">
        <v>0.14</v>
      </c>
      <c r="H33" s="5" t="s">
        <v>119</v>
      </c>
    </row>
    <row r="34" ht="15" customHeight="1" spans="1:8">
      <c r="A34" s="7" t="s">
        <v>22</v>
      </c>
      <c r="B34" s="7" t="s">
        <v>41</v>
      </c>
      <c r="C34" s="13">
        <v>8400000</v>
      </c>
      <c r="E34" s="7" t="s">
        <v>22</v>
      </c>
      <c r="F34" s="7" t="s">
        <v>57</v>
      </c>
      <c r="G34" s="14">
        <v>0.1</v>
      </c>
      <c r="H34" s="7" t="s">
        <v>119</v>
      </c>
    </row>
    <row r="35" ht="15" customHeight="1" spans="1:8">
      <c r="A35" s="5" t="s">
        <v>22</v>
      </c>
      <c r="B35" s="5" t="s">
        <v>42</v>
      </c>
      <c r="C35" s="11">
        <v>9300000</v>
      </c>
      <c r="E35" s="5" t="s">
        <v>22</v>
      </c>
      <c r="F35" s="5" t="s">
        <v>58</v>
      </c>
      <c r="G35" s="12">
        <v>0.1</v>
      </c>
      <c r="H35" s="5" t="s">
        <v>119</v>
      </c>
    </row>
    <row r="36" ht="15" customHeight="1" spans="1:8">
      <c r="A36" s="7" t="s">
        <v>22</v>
      </c>
      <c r="B36" s="7" t="s">
        <v>43</v>
      </c>
      <c r="C36" s="13">
        <v>10400000</v>
      </c>
      <c r="E36" s="7" t="s">
        <v>22</v>
      </c>
      <c r="F36" s="7" t="s">
        <v>59</v>
      </c>
      <c r="G36" s="14">
        <v>0.04</v>
      </c>
      <c r="H36" s="7" t="s">
        <v>119</v>
      </c>
    </row>
    <row r="37" ht="15" customHeight="1" spans="1:8">
      <c r="A37" s="5" t="s">
        <v>30</v>
      </c>
      <c r="B37" s="5" t="s">
        <v>38</v>
      </c>
      <c r="C37" s="11">
        <v>5000000</v>
      </c>
      <c r="E37" s="5" t="s">
        <v>30</v>
      </c>
      <c r="F37" s="5" t="s">
        <v>54</v>
      </c>
      <c r="G37" s="12">
        <v>0.27</v>
      </c>
      <c r="H37" s="5" t="s">
        <v>119</v>
      </c>
    </row>
    <row r="38" ht="15" customHeight="1" spans="1:8">
      <c r="A38" s="7" t="s">
        <v>30</v>
      </c>
      <c r="B38" s="7" t="s">
        <v>39</v>
      </c>
      <c r="C38" s="13">
        <v>4700000</v>
      </c>
      <c r="E38" s="7" t="s">
        <v>30</v>
      </c>
      <c r="F38" s="7" t="s">
        <v>55</v>
      </c>
      <c r="G38" s="14">
        <v>0.24</v>
      </c>
      <c r="H38" s="7" t="s">
        <v>119</v>
      </c>
    </row>
    <row r="39" ht="15" customHeight="1" spans="1:8">
      <c r="A39" s="5" t="s">
        <v>30</v>
      </c>
      <c r="B39" s="5" t="s">
        <v>40</v>
      </c>
      <c r="C39" s="11">
        <v>4900000</v>
      </c>
      <c r="E39" s="5" t="s">
        <v>30</v>
      </c>
      <c r="F39" s="5" t="s">
        <v>56</v>
      </c>
      <c r="G39" s="12">
        <v>0.08</v>
      </c>
      <c r="H39" s="5" t="s">
        <v>119</v>
      </c>
    </row>
    <row r="40" ht="15" customHeight="1" spans="1:8">
      <c r="A40" s="7" t="s">
        <v>30</v>
      </c>
      <c r="B40" s="7" t="s">
        <v>41</v>
      </c>
      <c r="C40" s="13">
        <v>5200000</v>
      </c>
      <c r="E40" s="7" t="s">
        <v>30</v>
      </c>
      <c r="F40" s="7" t="s">
        <v>57</v>
      </c>
      <c r="G40" s="14">
        <v>0.11</v>
      </c>
      <c r="H40" s="7" t="s">
        <v>119</v>
      </c>
    </row>
    <row r="41" ht="15" customHeight="1" spans="1:8">
      <c r="A41" s="5" t="s">
        <v>30</v>
      </c>
      <c r="B41" s="5" t="s">
        <v>42</v>
      </c>
      <c r="C41" s="11">
        <v>5700000</v>
      </c>
      <c r="E41" s="5" t="s">
        <v>30</v>
      </c>
      <c r="F41" s="5" t="s">
        <v>58</v>
      </c>
      <c r="G41" s="12">
        <v>0.25</v>
      </c>
      <c r="H41" s="5" t="s">
        <v>119</v>
      </c>
    </row>
    <row r="42" ht="15" customHeight="1" spans="1:8">
      <c r="A42" s="7" t="s">
        <v>30</v>
      </c>
      <c r="B42" s="7" t="s">
        <v>43</v>
      </c>
      <c r="C42" s="13">
        <v>6300000</v>
      </c>
      <c r="E42" s="7" t="s">
        <v>30</v>
      </c>
      <c r="F42" s="7" t="s">
        <v>59</v>
      </c>
      <c r="G42" s="14">
        <v>0.05</v>
      </c>
      <c r="H42" s="7" t="s">
        <v>119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showGridLines="0" workbookViewId="0">
      <selection activeCell="A1" sqref="A1"/>
    </sheetView>
  </sheetViews>
  <sheetFormatPr defaultColWidth="9" defaultRowHeight="13.5" outlineLevelRow="7"/>
  <cols>
    <col min="1" max="1" width="15.6333333333333" customWidth="1"/>
    <col min="2" max="2" width="15.75" customWidth="1"/>
    <col min="3" max="3" width="29.25" customWidth="1"/>
    <col min="4" max="4" width="32.1333333333333" customWidth="1"/>
    <col min="5" max="5" width="10" customWidth="1"/>
    <col min="6" max="6" width="8.25" customWidth="1"/>
    <col min="7" max="7" width="6.25" customWidth="1"/>
    <col min="8" max="8" width="34.25" customWidth="1"/>
  </cols>
  <sheetData>
    <row r="1" ht="19.2" customHeight="1" spans="1:26">
      <c r="A1" s="1" t="s">
        <v>120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" customHeight="1" spans="1:26">
      <c r="A2" s="3" t="s">
        <v>121</v>
      </c>
      <c r="B2" s="3"/>
      <c r="C2" s="3"/>
      <c r="D2" s="3"/>
      <c r="E2" s="3"/>
      <c r="F2" s="3"/>
      <c r="G2" s="3"/>
      <c r="H2" s="3"/>
    </row>
    <row r="4" ht="15" customHeight="1" spans="1:26">
      <c r="A4" s="4" t="s">
        <v>122</v>
      </c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  <c r="G4" s="4" t="s">
        <v>128</v>
      </c>
      <c r="H4" s="4" t="s">
        <v>129</v>
      </c>
    </row>
    <row r="5" ht="15" customHeight="1" spans="1:26">
      <c r="A5" s="5" t="s">
        <v>130</v>
      </c>
      <c r="B5" s="5" t="s">
        <v>131</v>
      </c>
      <c r="C5" s="5" t="s">
        <v>132</v>
      </c>
      <c r="D5" s="5" t="s">
        <v>133</v>
      </c>
      <c r="E5" s="5" t="s">
        <v>134</v>
      </c>
      <c r="F5" s="5" t="s">
        <v>135</v>
      </c>
      <c r="G5" s="5" t="s">
        <v>136</v>
      </c>
      <c r="H5" s="9" t="s">
        <v>137</v>
      </c>
    </row>
    <row r="6" ht="15" customHeight="1" spans="1:26">
      <c r="A6" s="7" t="s">
        <v>138</v>
      </c>
      <c r="B6" s="7" t="s">
        <v>139</v>
      </c>
      <c r="C6" s="7" t="s">
        <v>140</v>
      </c>
      <c r="D6" s="7" t="s">
        <v>141</v>
      </c>
      <c r="E6" s="7" t="s">
        <v>134</v>
      </c>
      <c r="F6" s="7" t="s">
        <v>142</v>
      </c>
      <c r="G6" s="7" t="s">
        <v>142</v>
      </c>
      <c r="H6" s="10" t="s">
        <v>143</v>
      </c>
    </row>
    <row r="7" ht="15" customHeight="1" spans="1:26">
      <c r="A7" s="5" t="s">
        <v>144</v>
      </c>
      <c r="B7" s="5" t="s">
        <v>145</v>
      </c>
      <c r="C7" s="5" t="s">
        <v>146</v>
      </c>
      <c r="D7" s="5" t="s">
        <v>147</v>
      </c>
      <c r="E7" s="5" t="s">
        <v>134</v>
      </c>
      <c r="F7" s="5" t="s">
        <v>142</v>
      </c>
      <c r="G7" s="5" t="s">
        <v>142</v>
      </c>
      <c r="H7" s="9" t="s">
        <v>148</v>
      </c>
    </row>
    <row r="8" ht="15" customHeight="1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showGridLines="0" workbookViewId="0">
      <selection activeCell="A1" sqref="A1"/>
    </sheetView>
  </sheetViews>
  <sheetFormatPr defaultColWidth="9" defaultRowHeight="13.5"/>
  <cols>
    <col min="1" max="1" width="13.8833333333333" customWidth="1"/>
    <col min="2" max="2" width="17.25" customWidth="1"/>
    <col min="3" max="3" width="10.6333333333333" customWidth="1"/>
    <col min="4" max="4" width="32.25" customWidth="1"/>
    <col min="5" max="5" width="24.1333333333333" customWidth="1"/>
  </cols>
  <sheetData>
    <row r="1" ht="19.2" customHeight="1" spans="1:26">
      <c r="A1" s="1" t="s">
        <v>149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" customHeight="1" spans="1:26">
      <c r="A2" s="3" t="s">
        <v>150</v>
      </c>
      <c r="B2" s="3"/>
      <c r="C2" s="3"/>
      <c r="D2" s="3"/>
      <c r="E2" s="3"/>
      <c r="F2" s="3"/>
      <c r="G2" s="3"/>
      <c r="H2" s="3"/>
    </row>
    <row r="4" ht="15" customHeight="1" spans="1:26">
      <c r="A4" s="4" t="s">
        <v>151</v>
      </c>
      <c r="B4" s="4" t="s">
        <v>152</v>
      </c>
      <c r="C4" s="4" t="s">
        <v>153</v>
      </c>
      <c r="D4" s="4" t="s">
        <v>154</v>
      </c>
      <c r="E4" s="4" t="s">
        <v>155</v>
      </c>
    </row>
    <row r="5" ht="15" customHeight="1" spans="1:26">
      <c r="A5" s="5" t="s">
        <v>156</v>
      </c>
      <c r="B5" s="5" t="s">
        <v>157</v>
      </c>
      <c r="C5" s="9" t="s">
        <v>158</v>
      </c>
      <c r="D5" s="9" t="s">
        <v>159</v>
      </c>
      <c r="E5" s="9" t="s">
        <v>160</v>
      </c>
    </row>
    <row r="6" ht="15" customHeight="1" spans="1:26">
      <c r="A6" s="7" t="s">
        <v>161</v>
      </c>
      <c r="B6" s="7" t="s">
        <v>162</v>
      </c>
      <c r="C6" s="10" t="s">
        <v>163</v>
      </c>
      <c r="D6" s="10" t="s">
        <v>164</v>
      </c>
      <c r="E6" s="10" t="s">
        <v>165</v>
      </c>
    </row>
    <row r="7" ht="15" customHeight="1" spans="1:26">
      <c r="A7" s="5" t="s">
        <v>166</v>
      </c>
      <c r="B7" s="5" t="s">
        <v>167</v>
      </c>
      <c r="C7" s="9" t="s">
        <v>168</v>
      </c>
      <c r="D7" s="9" t="s">
        <v>169</v>
      </c>
      <c r="E7" s="9" t="s">
        <v>170</v>
      </c>
    </row>
    <row r="8" ht="15" customHeight="1" spans="1:26">
      <c r="A8" s="7" t="s">
        <v>171</v>
      </c>
      <c r="B8" s="7" t="s">
        <v>172</v>
      </c>
      <c r="C8" s="10" t="s">
        <v>173</v>
      </c>
      <c r="D8" s="10" t="s">
        <v>174</v>
      </c>
      <c r="E8" s="10" t="s">
        <v>175</v>
      </c>
    </row>
    <row r="9" ht="15" customHeight="1" spans="1:26">
      <c r="A9" s="5" t="s">
        <v>176</v>
      </c>
      <c r="B9" s="5" t="s">
        <v>177</v>
      </c>
      <c r="C9" s="9" t="s">
        <v>178</v>
      </c>
      <c r="D9" s="9" t="s">
        <v>179</v>
      </c>
      <c r="E9" s="9" t="s">
        <v>180</v>
      </c>
    </row>
    <row r="10" ht="15" customHeight="1" spans="1:26">
      <c r="A10" s="7" t="s">
        <v>181</v>
      </c>
      <c r="B10" s="7" t="s">
        <v>182</v>
      </c>
      <c r="C10" s="10" t="s">
        <v>183</v>
      </c>
      <c r="D10" s="10" t="s">
        <v>184</v>
      </c>
      <c r="E10" s="10" t="s">
        <v>185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"/>
  <sheetViews>
    <sheetView showGridLines="0" workbookViewId="0">
      <selection activeCell="H9" sqref="H9"/>
    </sheetView>
  </sheetViews>
  <sheetFormatPr defaultColWidth="9" defaultRowHeight="13.5" outlineLevelRow="6"/>
  <cols>
    <col min="1" max="1" width="17.25" customWidth="1"/>
    <col min="2" max="2" width="45" customWidth="1"/>
    <col min="3" max="3" width="14.1333333333333" customWidth="1"/>
    <col min="4" max="4" width="42.25" customWidth="1"/>
    <col min="5" max="5" width="7.25" customWidth="1"/>
    <col min="6" max="6" width="41" customWidth="1"/>
    <col min="7" max="7" width="34.5" customWidth="1"/>
    <col min="8" max="8" width="32.25" customWidth="1"/>
  </cols>
  <sheetData>
    <row r="1" ht="19.2" customHeight="1" spans="1:26">
      <c r="A1" s="1" t="s">
        <v>186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" customHeight="1" spans="1:26">
      <c r="A2" s="3" t="s">
        <v>187</v>
      </c>
      <c r="B2" s="3"/>
      <c r="C2" s="3"/>
      <c r="D2" s="3"/>
      <c r="E2" s="3"/>
      <c r="F2" s="3"/>
      <c r="G2" s="3"/>
      <c r="H2" s="3"/>
    </row>
    <row r="4" ht="15" customHeight="1" spans="1:26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</row>
    <row r="5" ht="15" customHeight="1" spans="1:26">
      <c r="A5" s="5" t="s">
        <v>69</v>
      </c>
      <c r="B5" s="6" t="s">
        <v>70</v>
      </c>
      <c r="C5" s="6" t="s">
        <v>71</v>
      </c>
      <c r="D5" s="6" t="s">
        <v>72</v>
      </c>
      <c r="E5" s="6" t="s">
        <v>73</v>
      </c>
      <c r="F5" s="6" t="s">
        <v>74</v>
      </c>
      <c r="G5" s="6" t="s">
        <v>75</v>
      </c>
      <c r="H5" s="6" t="s">
        <v>76</v>
      </c>
    </row>
    <row r="6" ht="15" customHeight="1" spans="1:26">
      <c r="A6" s="7" t="s">
        <v>77</v>
      </c>
      <c r="B6" s="8" t="s">
        <v>78</v>
      </c>
      <c r="C6" s="8" t="s">
        <v>79</v>
      </c>
      <c r="D6" s="8" t="s">
        <v>80</v>
      </c>
      <c r="E6" s="8" t="s">
        <v>73</v>
      </c>
      <c r="F6" s="8" t="s">
        <v>81</v>
      </c>
      <c r="G6" s="8" t="s">
        <v>82</v>
      </c>
      <c r="H6" s="8" t="s">
        <v>83</v>
      </c>
    </row>
    <row r="7" ht="15" customHeight="1" spans="1:26">
      <c r="A7" s="5" t="s">
        <v>84</v>
      </c>
      <c r="B7" s="6" t="s">
        <v>85</v>
      </c>
      <c r="C7" s="6" t="s">
        <v>25</v>
      </c>
      <c r="D7" s="6" t="s">
        <v>86</v>
      </c>
      <c r="E7" s="6" t="s">
        <v>87</v>
      </c>
      <c r="F7" s="6" t="s">
        <v>88</v>
      </c>
      <c r="G7" s="6" t="s">
        <v>89</v>
      </c>
      <c r="H7" s="6" t="s">
        <v>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分析报告</vt:lpstr>
      <vt:lpstr>数据明细</vt:lpstr>
      <vt:lpstr>来源口径</vt:lpstr>
      <vt:lpstr>核验记录</vt:lpstr>
      <vt:lpstr>增长实验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Lois丽酱</cp:lastModifiedBy>
  <dcterms:created xsi:type="dcterms:W3CDTF">2026-09-16T10:58:51Z</dcterms:created>
  <dcterms:modified xsi:type="dcterms:W3CDTF">2026-09-16T11:00:48Z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2405BBE032654DC38D428453E05763BC_12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